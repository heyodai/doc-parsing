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Assumptions" sheetId="2" state="visible" r:id="rId4"/>
    <sheet name="Rent Roll" sheetId="3" state="visible" r:id="rId5"/>
    <sheet name="Operating Statement" sheetId="4" state="visible" r:id="rId6"/>
    <sheet name="Debt Servic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<sst xmlns="http://schemas.openxmlformats.org/spreadsheetml/2006/main" count="306" uniqueCount="159">
  <si>
    <t xml:space="preserve">Underwriting Summary</t>
  </si>
  <si>
    <t xml:space="preserve">All values flow from the other sheets via cross-sheet formulas. Fictitious data for parser testing.</t>
  </si>
  <si>
    <t xml:space="preserve">Property</t>
  </si>
  <si>
    <t xml:space="preserve">Units</t>
  </si>
  <si>
    <t xml:space="preserve">Occupied Units</t>
  </si>
  <si>
    <t xml:space="preserve">Physical Occupancy</t>
  </si>
  <si>
    <t xml:space="preserve">In-Place Monthly Rent</t>
  </si>
  <si>
    <t xml:space="preserve">Effective Gross Income</t>
  </si>
  <si>
    <t xml:space="preserve">Total Operating Expenses</t>
  </si>
  <si>
    <t xml:space="preserve">Net Operating Income</t>
  </si>
  <si>
    <t xml:space="preserve">Annual Debt Service</t>
  </si>
  <si>
    <t xml:space="preserve">DSCR</t>
  </si>
  <si>
    <t xml:space="preserve">LTV</t>
  </si>
  <si>
    <t xml:space="preserve">Going-in Cap Rate</t>
  </si>
  <si>
    <t xml:space="preserve">Underwriting Assumptions</t>
  </si>
  <si>
    <t xml:space="preserve">Example Gardens Apartments (fictitious)</t>
  </si>
  <si>
    <t xml:space="preserve">Address</t>
  </si>
  <si>
    <t xml:space="preserve">123 Example St, Anytown, NY 12345</t>
  </si>
  <si>
    <t xml:space="preserve">Purchase Price</t>
  </si>
  <si>
    <t xml:space="preserve">Loan Amount</t>
  </si>
  <si>
    <t xml:space="preserve">Interest Rate</t>
  </si>
  <si>
    <t xml:space="preserve">Amortization (years)</t>
  </si>
  <si>
    <t xml:space="preserve">Loan Term (years)</t>
  </si>
  <si>
    <t xml:space="preserve">Vacancy &amp; Credit Loss</t>
  </si>
  <si>
    <t xml:space="preserve">Management Fee (% of EGI)</t>
  </si>
  <si>
    <t xml:space="preserve">Other Income per Unit per Month</t>
  </si>
  <si>
    <t xml:space="preserve">Replacement Reserve per Unit</t>
  </si>
  <si>
    <t xml:space="preserve">Exit Cap Rate</t>
  </si>
  <si>
    <t xml:space="preserve">Rent Roll as of 3/31/2026</t>
  </si>
  <si>
    <t xml:space="preserve">Unit</t>
  </si>
  <si>
    <t xml:space="preserve">Type</t>
  </si>
  <si>
    <t xml:space="preserve">Sq Ft</t>
  </si>
  <si>
    <t xml:space="preserve">Tenant</t>
  </si>
  <si>
    <t xml:space="preserve">Lease End</t>
  </si>
  <si>
    <t xml:space="preserve">Monthly Rent</t>
  </si>
  <si>
    <t xml:space="preserve">Annual Rent</t>
  </si>
  <si>
    <t xml:space="preserve">Status</t>
  </si>
  <si>
    <t xml:space="preserve">A-101</t>
  </si>
  <si>
    <t xml:space="preserve">2BR/1BA</t>
  </si>
  <si>
    <t xml:space="preserve">Pat Placeholder</t>
  </si>
  <si>
    <t xml:space="preserve">06/31/2026</t>
  </si>
  <si>
    <t xml:space="preserve">Current</t>
  </si>
  <si>
    <t xml:space="preserve">A-102</t>
  </si>
  <si>
    <t xml:space="preserve">3BR/2BA</t>
  </si>
  <si>
    <t xml:space="preserve">Jordan Dummy</t>
  </si>
  <si>
    <t xml:space="preserve">10/30/2026</t>
  </si>
  <si>
    <t xml:space="preserve">A-103</t>
  </si>
  <si>
    <t xml:space="preserve">1BR/1BA</t>
  </si>
  <si>
    <t xml:space="preserve">John Sample</t>
  </si>
  <si>
    <t xml:space="preserve">12/28/2027</t>
  </si>
  <si>
    <t xml:space="preserve">A-104</t>
  </si>
  <si>
    <t xml:space="preserve">2BR/2BA</t>
  </si>
  <si>
    <t xml:space="preserve">Casey Example</t>
  </si>
  <si>
    <t xml:space="preserve">05/31/2026</t>
  </si>
  <si>
    <t xml:space="preserve">A-105</t>
  </si>
  <si>
    <t xml:space="preserve">Sam Specimen</t>
  </si>
  <si>
    <t xml:space="preserve">10/28/2026</t>
  </si>
  <si>
    <t xml:space="preserve">A-106</t>
  </si>
  <si>
    <t xml:space="preserve">Studio</t>
  </si>
  <si>
    <t xml:space="preserve">Taylor Testcase</t>
  </si>
  <si>
    <t xml:space="preserve">02/31/2027</t>
  </si>
  <si>
    <t xml:space="preserve">A-107</t>
  </si>
  <si>
    <t xml:space="preserve">VACANT</t>
  </si>
  <si>
    <t xml:space="preserve">Vacant</t>
  </si>
  <si>
    <t xml:space="preserve">A-108</t>
  </si>
  <si>
    <t xml:space="preserve">02/30/2026</t>
  </si>
  <si>
    <t xml:space="preserve">A-201</t>
  </si>
  <si>
    <t xml:space="preserve">09/30/2027</t>
  </si>
  <si>
    <t xml:space="preserve">A-202</t>
  </si>
  <si>
    <t xml:space="preserve">09/31/2026</t>
  </si>
  <si>
    <t xml:space="preserve">A-203</t>
  </si>
  <si>
    <t xml:space="preserve">11/30/2026</t>
  </si>
  <si>
    <t xml:space="preserve">A-204</t>
  </si>
  <si>
    <t xml:space="preserve">A-205</t>
  </si>
  <si>
    <t xml:space="preserve">10/31/2027</t>
  </si>
  <si>
    <t xml:space="preserve">A-206</t>
  </si>
  <si>
    <t xml:space="preserve">Jane Sample</t>
  </si>
  <si>
    <t xml:space="preserve">06/30/2027</t>
  </si>
  <si>
    <t xml:space="preserve">A-207</t>
  </si>
  <si>
    <t xml:space="preserve">01/30/2027</t>
  </si>
  <si>
    <t xml:space="preserve">A-208</t>
  </si>
  <si>
    <t xml:space="preserve">Alex Example</t>
  </si>
  <si>
    <t xml:space="preserve">03/30/2026</t>
  </si>
  <si>
    <t xml:space="preserve">A-301</t>
  </si>
  <si>
    <t xml:space="preserve">09/31/2027</t>
  </si>
  <si>
    <t xml:space="preserve">A-302</t>
  </si>
  <si>
    <t xml:space="preserve">06/28/2027</t>
  </si>
  <si>
    <t xml:space="preserve">A-303</t>
  </si>
  <si>
    <t xml:space="preserve">11/28/2027</t>
  </si>
  <si>
    <t xml:space="preserve">A-304</t>
  </si>
  <si>
    <t xml:space="preserve">01/28/2026</t>
  </si>
  <si>
    <t xml:space="preserve">A-305</t>
  </si>
  <si>
    <t xml:space="preserve">08/31/2027</t>
  </si>
  <si>
    <t xml:space="preserve">A-306</t>
  </si>
  <si>
    <t xml:space="preserve">08/30/2026</t>
  </si>
  <si>
    <t xml:space="preserve">A-307</t>
  </si>
  <si>
    <t xml:space="preserve">A-308</t>
  </si>
  <si>
    <t xml:space="preserve">03/31/2026</t>
  </si>
  <si>
    <t xml:space="preserve">B-101</t>
  </si>
  <si>
    <t xml:space="preserve">05/28/2027</t>
  </si>
  <si>
    <t xml:space="preserve">B-102</t>
  </si>
  <si>
    <t xml:space="preserve">B-103</t>
  </si>
  <si>
    <t xml:space="preserve">04/31/2027</t>
  </si>
  <si>
    <t xml:space="preserve">B-104</t>
  </si>
  <si>
    <t xml:space="preserve">B-105</t>
  </si>
  <si>
    <t xml:space="preserve">07/30/2027</t>
  </si>
  <si>
    <t xml:space="preserve">B-106</t>
  </si>
  <si>
    <t xml:space="preserve">11/31/2026</t>
  </si>
  <si>
    <t xml:space="preserve">B-107</t>
  </si>
  <si>
    <t xml:space="preserve">08/30/2027</t>
  </si>
  <si>
    <t xml:space="preserve">B-108</t>
  </si>
  <si>
    <t xml:space="preserve">B-201</t>
  </si>
  <si>
    <t xml:space="preserve">11/30/2027</t>
  </si>
  <si>
    <t xml:space="preserve">B-202</t>
  </si>
  <si>
    <t xml:space="preserve">03/28/2027</t>
  </si>
  <si>
    <t xml:space="preserve">B-203</t>
  </si>
  <si>
    <t xml:space="preserve">03/30/2027</t>
  </si>
  <si>
    <t xml:space="preserve">B-204</t>
  </si>
  <si>
    <t xml:space="preserve">B-205</t>
  </si>
  <si>
    <t xml:space="preserve">06/31/2027</t>
  </si>
  <si>
    <t xml:space="preserve">B-206</t>
  </si>
  <si>
    <t xml:space="preserve">09/30/2026</t>
  </si>
  <si>
    <t xml:space="preserve">B-207</t>
  </si>
  <si>
    <t xml:space="preserve">04/28/2026</t>
  </si>
  <si>
    <t xml:space="preserve">B-208</t>
  </si>
  <si>
    <t xml:space="preserve">B-301</t>
  </si>
  <si>
    <t xml:space="preserve">11/28/2026</t>
  </si>
  <si>
    <t xml:space="preserve">B-302</t>
  </si>
  <si>
    <t xml:space="preserve">B-303</t>
  </si>
  <si>
    <t xml:space="preserve">08/28/2026</t>
  </si>
  <si>
    <t xml:space="preserve">B-304</t>
  </si>
  <si>
    <t xml:space="preserve">B-305</t>
  </si>
  <si>
    <t xml:space="preserve">12/31/2026</t>
  </si>
  <si>
    <t xml:space="preserve">B-306</t>
  </si>
  <si>
    <t xml:space="preserve">07/30/2026</t>
  </si>
  <si>
    <t xml:space="preserve">B-307</t>
  </si>
  <si>
    <t xml:space="preserve">08/31/2026</t>
  </si>
  <si>
    <t xml:space="preserve">B-308</t>
  </si>
  <si>
    <t xml:space="preserve">Total</t>
  </si>
  <si>
    <t xml:space="preserve">Pro Forma Operating Statement (Year 1)</t>
  </si>
  <si>
    <t xml:space="preserve">Gross Potential Rent (in-place, annualized)</t>
  </si>
  <si>
    <t xml:space="preserve">Less: Vacancy &amp; Credit Loss</t>
  </si>
  <si>
    <t xml:space="preserve">Other Income</t>
  </si>
  <si>
    <t xml:space="preserve">Real Estate Taxes</t>
  </si>
  <si>
    <t xml:space="preserve">Insurance</t>
  </si>
  <si>
    <t xml:space="preserve">Utilities</t>
  </si>
  <si>
    <t xml:space="preserve">Repairs &amp; Maintenance</t>
  </si>
  <si>
    <t xml:space="preserve">Contract Services</t>
  </si>
  <si>
    <t xml:space="preserve">Payroll</t>
  </si>
  <si>
    <t xml:space="preserve">Management Fee</t>
  </si>
  <si>
    <t xml:space="preserve">General &amp; Administrative</t>
  </si>
  <si>
    <t xml:space="preserve">Marketing</t>
  </si>
  <si>
    <t xml:space="preserve">Replacement Reserves</t>
  </si>
  <si>
    <t xml:space="preserve">Expense Ratio</t>
  </si>
  <si>
    <t xml:space="preserve">Debt Service &amp; Returns</t>
  </si>
  <si>
    <t xml:space="preserve">Amortization (months)</t>
  </si>
  <si>
    <t xml:space="preserve">Monthly Payment</t>
  </si>
  <si>
    <t xml:space="preserve">Debt Yield</t>
  </si>
  <si>
    <t xml:space="preserve">Cash Flow After Debt Service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</si>
</sst>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#,##0;\(#,##0\)"/>
    <numFmt numFmtId="167" formatCode="0.00\x"/>
    <numFmt numFmtId="168" formatCode="#,##0.00;\(#,##0.00\)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3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2EC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0" t="str">
        <f aca="false">Assumptions!B3</f>
        <v>Example Gardens Apartments (fictitious)</v>
      </c>
    </row>
    <row r="5" customFormat="false" ht="15" hidden="false" customHeight="false" outlineLevel="0" collapsed="false">
      <c r="A5" s="3" t="s">
        <v>3</v>
      </c>
      <c r="B5" s="0" t="n">
        <f aca="false">Assumptions!B5</f>
        <v>48</v>
      </c>
    </row>
    <row r="6" customFormat="false" ht="15" hidden="false" customHeight="false" outlineLevel="0" collapsed="false">
      <c r="A6" s="3" t="s">
        <v>4</v>
      </c>
      <c r="B6" s="0" t="n">
        <f aca="false">COUNTIF('Rent Roll'!H4:H51,"Current")</f>
        <v>44</v>
      </c>
    </row>
    <row r="7" customFormat="false" ht="15" hidden="false" customHeight="false" outlineLevel="0" collapsed="false">
      <c r="A7" s="3" t="s">
        <v>5</v>
      </c>
      <c r="B7" s="4" t="n">
        <f aca="false">B6/B5</f>
        <v>0.916666666666667</v>
      </c>
    </row>
    <row r="8" customFormat="false" ht="15" hidden="false" customHeight="false" outlineLevel="0" collapsed="false">
      <c r="A8" s="3" t="s">
        <v>6</v>
      </c>
      <c r="B8" s="5" t="n">
        <f aca="false">'Rent Roll'!F52</f>
        <v>77630</v>
      </c>
    </row>
    <row r="9" customFormat="false" ht="15" hidden="false" customHeight="false" outlineLevel="0" collapsed="false">
      <c r="A9" s="3" t="s">
        <v>7</v>
      </c>
      <c r="B9" s="5" t="n">
        <f aca="false">'Operating Statement'!B6</f>
        <v>911378.4</v>
      </c>
    </row>
    <row r="10" customFormat="false" ht="15" hidden="false" customHeight="false" outlineLevel="0" collapsed="false">
      <c r="A10" s="3" t="s">
        <v>8</v>
      </c>
      <c r="B10" s="5" t="n">
        <f aca="false">'Operating Statement'!B18</f>
        <v>471520.136</v>
      </c>
    </row>
    <row r="11" customFormat="false" ht="15" hidden="false" customHeight="false" outlineLevel="0" collapsed="false">
      <c r="A11" s="3" t="s">
        <v>9</v>
      </c>
      <c r="B11" s="5" t="n">
        <f aca="false">'Operating Statement'!B19</f>
        <v>439858.264</v>
      </c>
    </row>
    <row r="12" customFormat="false" ht="15" hidden="false" customHeight="false" outlineLevel="0" collapsed="false">
      <c r="A12" s="3" t="s">
        <v>10</v>
      </c>
      <c r="B12" s="5" t="n">
        <f aca="false">'Debt Service'!B7</f>
        <v>328977.700187821</v>
      </c>
    </row>
    <row r="13" customFormat="false" ht="15" hidden="false" customHeight="false" outlineLevel="0" collapsed="false">
      <c r="A13" s="3" t="s">
        <v>11</v>
      </c>
      <c r="B13" s="6" t="n">
        <f aca="false">'Debt Service'!B9</f>
        <v>1.33704583547418</v>
      </c>
    </row>
    <row r="14" customFormat="false" ht="15" hidden="false" customHeight="false" outlineLevel="0" collapsed="false">
      <c r="A14" s="3" t="s">
        <v>12</v>
      </c>
      <c r="B14" s="4" t="n">
        <f aca="false">'Debt Service'!B10</f>
        <v>0.65</v>
      </c>
    </row>
    <row r="15" customFormat="false" ht="15" hidden="false" customHeight="false" outlineLevel="0" collapsed="false">
      <c r="A15" s="3" t="s">
        <v>13</v>
      </c>
      <c r="B15" s="4" t="n">
        <f aca="false">'Debt Service'!B11</f>
        <v>0.0642128852554745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8"/>
  </cols>
  <sheetData>
    <row r="1" customFormat="false" ht="16.15" hidden="false" customHeight="false" outlineLevel="0" collapsed="false">
      <c r="A1" s="7" t="s">
        <v>14</v>
      </c>
    </row>
    <row r="3" customFormat="false" ht="15" hidden="false" customHeight="false" outlineLevel="0" collapsed="false">
      <c r="A3" s="3" t="s">
        <v>2</v>
      </c>
      <c r="B3" s="0" t="s">
        <v>15</v>
      </c>
    </row>
    <row r="4" customFormat="false" ht="15" hidden="false" customHeight="false" outlineLevel="0" collapsed="false">
      <c r="A4" s="3" t="s">
        <v>16</v>
      </c>
      <c r="B4" s="0" t="s">
        <v>17</v>
      </c>
    </row>
    <row r="5" customFormat="false" ht="15" hidden="false" customHeight="false" outlineLevel="0" collapsed="false">
      <c r="A5" s="3" t="s">
        <v>3</v>
      </c>
      <c r="B5" s="0" t="n">
        <v>48</v>
      </c>
    </row>
    <row r="6" customFormat="false" ht="15" hidden="false" customHeight="false" outlineLevel="0" collapsed="false">
      <c r="A6" s="3" t="s">
        <v>18</v>
      </c>
      <c r="B6" s="5" t="n">
        <v>6850000</v>
      </c>
    </row>
    <row r="7" customFormat="false" ht="15" hidden="false" customHeight="false" outlineLevel="0" collapsed="false">
      <c r="A7" s="3" t="s">
        <v>19</v>
      </c>
      <c r="B7" s="5" t="n">
        <v>4452500</v>
      </c>
    </row>
    <row r="8" customFormat="false" ht="15" hidden="false" customHeight="false" outlineLevel="0" collapsed="false">
      <c r="A8" s="3" t="s">
        <v>20</v>
      </c>
      <c r="B8" s="4" t="n">
        <v>0.0625</v>
      </c>
    </row>
    <row r="9" customFormat="false" ht="15" hidden="false" customHeight="false" outlineLevel="0" collapsed="false">
      <c r="A9" s="3" t="s">
        <v>21</v>
      </c>
      <c r="B9" s="0" t="n">
        <v>30</v>
      </c>
    </row>
    <row r="10" customFormat="false" ht="15" hidden="false" customHeight="false" outlineLevel="0" collapsed="false">
      <c r="A10" s="3" t="s">
        <v>22</v>
      </c>
      <c r="B10" s="0" t="n">
        <v>10</v>
      </c>
    </row>
    <row r="11" customFormat="false" ht="15" hidden="false" customHeight="false" outlineLevel="0" collapsed="false">
      <c r="A11" s="3" t="s">
        <v>23</v>
      </c>
      <c r="B11" s="4" t="n">
        <v>0.06</v>
      </c>
    </row>
    <row r="12" customFormat="false" ht="15" hidden="false" customHeight="false" outlineLevel="0" collapsed="false">
      <c r="A12" s="3" t="s">
        <v>24</v>
      </c>
      <c r="B12" s="4" t="n">
        <v>0.04</v>
      </c>
    </row>
    <row r="13" customFormat="false" ht="15" hidden="false" customHeight="false" outlineLevel="0" collapsed="false">
      <c r="A13" s="3" t="s">
        <v>25</v>
      </c>
      <c r="B13" s="0" t="n">
        <v>62</v>
      </c>
    </row>
    <row r="14" customFormat="false" ht="15" hidden="false" customHeight="false" outlineLevel="0" collapsed="false">
      <c r="A14" s="3" t="s">
        <v>26</v>
      </c>
      <c r="B14" s="0" t="n">
        <v>300</v>
      </c>
    </row>
    <row r="15" customFormat="false" ht="15" hidden="false" customHeight="false" outlineLevel="0" collapsed="false">
      <c r="A15" s="3" t="s">
        <v>27</v>
      </c>
      <c r="B15" s="4" t="n">
        <v>0.0575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7" min="6" style="0" width="13"/>
    <col collapsed="false" customWidth="true" hidden="false" outlineLevel="0" max="8" min="8" style="0" width="24"/>
  </cols>
  <sheetData>
    <row r="1" customFormat="false" ht="16.15" hidden="false" customHeight="false" outlineLevel="0" collapsed="false">
      <c r="A1" s="8" t="s">
        <v>28</v>
      </c>
      <c r="B1" s="8"/>
      <c r="C1" s="8"/>
      <c r="D1" s="8"/>
      <c r="E1" s="8"/>
      <c r="F1" s="8"/>
      <c r="G1" s="8"/>
      <c r="H1" s="8"/>
    </row>
    <row r="3" customFormat="false" ht="15" hidden="false" customHeight="false" outlineLevel="0" collapsed="false">
      <c r="A3" s="9" t="s">
        <v>29</v>
      </c>
      <c r="B3" s="9" t="s">
        <v>30</v>
      </c>
      <c r="C3" s="9" t="s">
        <v>31</v>
      </c>
      <c r="D3" s="9" t="s">
        <v>32</v>
      </c>
      <c r="E3" s="9" t="s">
        <v>33</v>
      </c>
      <c r="F3" s="9" t="s">
        <v>34</v>
      </c>
      <c r="G3" s="9" t="s">
        <v>35</v>
      </c>
      <c r="H3" s="9" t="s">
        <v>36</v>
      </c>
    </row>
    <row r="4" customFormat="false" ht="15" hidden="false" customHeight="false" outlineLevel="0" collapsed="false">
      <c r="A4" s="0" t="s">
        <v>37</v>
      </c>
      <c r="B4" s="0" t="s">
        <v>38</v>
      </c>
      <c r="C4" s="0" t="n">
        <v>850</v>
      </c>
      <c r="D4" s="0" t="s">
        <v>39</v>
      </c>
      <c r="E4" s="0" t="s">
        <v>40</v>
      </c>
      <c r="F4" s="5" t="n">
        <v>1700</v>
      </c>
      <c r="G4" s="5" t="n">
        <f aca="false">F4*12</f>
        <v>20400</v>
      </c>
      <c r="H4" s="0" t="s">
        <v>41</v>
      </c>
    </row>
    <row r="5" customFormat="false" ht="15" hidden="false" customHeight="false" outlineLevel="0" collapsed="false">
      <c r="A5" s="0" t="s">
        <v>42</v>
      </c>
      <c r="B5" s="0" t="s">
        <v>43</v>
      </c>
      <c r="C5" s="0" t="n">
        <v>1150</v>
      </c>
      <c r="D5" s="0" t="s">
        <v>44</v>
      </c>
      <c r="E5" s="0" t="s">
        <v>45</v>
      </c>
      <c r="F5" s="5" t="n">
        <v>2250</v>
      </c>
      <c r="G5" s="5" t="n">
        <f aca="false">F5*12</f>
        <v>27000</v>
      </c>
      <c r="H5" s="0" t="s">
        <v>41</v>
      </c>
    </row>
    <row r="6" customFormat="false" ht="15" hidden="false" customHeight="false" outlineLevel="0" collapsed="false">
      <c r="A6" s="0" t="s">
        <v>46</v>
      </c>
      <c r="B6" s="0" t="s">
        <v>47</v>
      </c>
      <c r="C6" s="0" t="n">
        <v>650</v>
      </c>
      <c r="D6" s="0" t="s">
        <v>48</v>
      </c>
      <c r="E6" s="0" t="s">
        <v>49</v>
      </c>
      <c r="F6" s="5" t="n">
        <v>1400</v>
      </c>
      <c r="G6" s="5" t="n">
        <f aca="false">F6*12</f>
        <v>16800</v>
      </c>
      <c r="H6" s="0" t="s">
        <v>41</v>
      </c>
    </row>
    <row r="7" customFormat="false" ht="15" hidden="false" customHeight="false" outlineLevel="0" collapsed="false">
      <c r="A7" s="0" t="s">
        <v>50</v>
      </c>
      <c r="B7" s="0" t="s">
        <v>51</v>
      </c>
      <c r="C7" s="0" t="n">
        <v>950</v>
      </c>
      <c r="D7" s="0" t="s">
        <v>52</v>
      </c>
      <c r="E7" s="0" t="s">
        <v>53</v>
      </c>
      <c r="F7" s="5" t="n">
        <v>1925</v>
      </c>
      <c r="G7" s="5" t="n">
        <f aca="false">F7*12</f>
        <v>23100</v>
      </c>
      <c r="H7" s="0" t="s">
        <v>41</v>
      </c>
    </row>
    <row r="8" customFormat="false" ht="15" hidden="false" customHeight="false" outlineLevel="0" collapsed="false">
      <c r="A8" s="0" t="s">
        <v>54</v>
      </c>
      <c r="B8" s="0" t="s">
        <v>43</v>
      </c>
      <c r="C8" s="0" t="n">
        <v>1150</v>
      </c>
      <c r="D8" s="0" t="s">
        <v>55</v>
      </c>
      <c r="E8" s="0" t="s">
        <v>56</v>
      </c>
      <c r="F8" s="5" t="n">
        <v>2350</v>
      </c>
      <c r="G8" s="5" t="n">
        <f aca="false">F8*12</f>
        <v>28200</v>
      </c>
      <c r="H8" s="0" t="s">
        <v>41</v>
      </c>
    </row>
    <row r="9" customFormat="false" ht="15" hidden="false" customHeight="false" outlineLevel="0" collapsed="false">
      <c r="A9" s="0" t="s">
        <v>57</v>
      </c>
      <c r="B9" s="0" t="s">
        <v>58</v>
      </c>
      <c r="C9" s="0" t="n">
        <v>480</v>
      </c>
      <c r="D9" s="0" t="s">
        <v>59</v>
      </c>
      <c r="E9" s="0" t="s">
        <v>60</v>
      </c>
      <c r="F9" s="5" t="n">
        <v>1145</v>
      </c>
      <c r="G9" s="5" t="n">
        <f aca="false">F9*12</f>
        <v>13740</v>
      </c>
      <c r="H9" s="0" t="s">
        <v>41</v>
      </c>
    </row>
    <row r="10" customFormat="false" ht="15" hidden="false" customHeight="false" outlineLevel="0" collapsed="false">
      <c r="A10" s="0" t="s">
        <v>61</v>
      </c>
      <c r="B10" s="0" t="s">
        <v>38</v>
      </c>
      <c r="C10" s="0" t="n">
        <v>850</v>
      </c>
      <c r="D10" s="0" t="s">
        <v>62</v>
      </c>
      <c r="F10" s="5" t="n">
        <v>0</v>
      </c>
      <c r="G10" s="5" t="n">
        <f aca="false">F10*12</f>
        <v>0</v>
      </c>
      <c r="H10" s="0" t="s">
        <v>63</v>
      </c>
    </row>
    <row r="11" customFormat="false" ht="15" hidden="false" customHeight="false" outlineLevel="0" collapsed="false">
      <c r="A11" s="0" t="s">
        <v>64</v>
      </c>
      <c r="B11" s="0" t="s">
        <v>51</v>
      </c>
      <c r="C11" s="0" t="n">
        <v>950</v>
      </c>
      <c r="D11" s="0" t="s">
        <v>44</v>
      </c>
      <c r="E11" s="0" t="s">
        <v>65</v>
      </c>
      <c r="F11" s="5" t="n">
        <v>1825</v>
      </c>
      <c r="G11" s="5" t="n">
        <f aca="false">F11*12</f>
        <v>21900</v>
      </c>
      <c r="H11" s="0" t="s">
        <v>41</v>
      </c>
    </row>
    <row r="12" customFormat="false" ht="15" hidden="false" customHeight="false" outlineLevel="0" collapsed="false">
      <c r="A12" s="0" t="s">
        <v>66</v>
      </c>
      <c r="B12" s="0" t="s">
        <v>43</v>
      </c>
      <c r="C12" s="0" t="n">
        <v>1150</v>
      </c>
      <c r="D12" s="0" t="s">
        <v>44</v>
      </c>
      <c r="E12" s="0" t="s">
        <v>67</v>
      </c>
      <c r="F12" s="5" t="n">
        <v>2250</v>
      </c>
      <c r="G12" s="5" t="n">
        <f aca="false">F12*12</f>
        <v>27000</v>
      </c>
      <c r="H12" s="0" t="s">
        <v>41</v>
      </c>
    </row>
    <row r="13" customFormat="false" ht="15" hidden="false" customHeight="false" outlineLevel="0" collapsed="false">
      <c r="A13" s="0" t="s">
        <v>68</v>
      </c>
      <c r="B13" s="0" t="s">
        <v>38</v>
      </c>
      <c r="C13" s="0" t="n">
        <v>850</v>
      </c>
      <c r="D13" s="0" t="s">
        <v>48</v>
      </c>
      <c r="E13" s="0" t="s">
        <v>69</v>
      </c>
      <c r="F13" s="5" t="n">
        <v>1725</v>
      </c>
      <c r="G13" s="5" t="n">
        <f aca="false">F13*12</f>
        <v>20700</v>
      </c>
      <c r="H13" s="0" t="s">
        <v>41</v>
      </c>
    </row>
    <row r="14" customFormat="false" ht="15" hidden="false" customHeight="false" outlineLevel="0" collapsed="false">
      <c r="A14" s="0" t="s">
        <v>70</v>
      </c>
      <c r="B14" s="0" t="s">
        <v>47</v>
      </c>
      <c r="C14" s="0" t="n">
        <v>650</v>
      </c>
      <c r="D14" s="0" t="s">
        <v>39</v>
      </c>
      <c r="E14" s="0" t="s">
        <v>71</v>
      </c>
      <c r="F14" s="5" t="n">
        <v>1350</v>
      </c>
      <c r="G14" s="5" t="n">
        <f aca="false">F14*12</f>
        <v>16200</v>
      </c>
      <c r="H14" s="0" t="s">
        <v>41</v>
      </c>
    </row>
    <row r="15" customFormat="false" ht="15" hidden="false" customHeight="false" outlineLevel="0" collapsed="false">
      <c r="A15" s="0" t="s">
        <v>72</v>
      </c>
      <c r="B15" s="0" t="s">
        <v>38</v>
      </c>
      <c r="C15" s="0" t="n">
        <v>850</v>
      </c>
      <c r="D15" s="0" t="s">
        <v>44</v>
      </c>
      <c r="E15" s="0" t="s">
        <v>60</v>
      </c>
      <c r="F15" s="5" t="n">
        <v>1675</v>
      </c>
      <c r="G15" s="5" t="n">
        <f aca="false">F15*12</f>
        <v>20100</v>
      </c>
      <c r="H15" s="0" t="s">
        <v>41</v>
      </c>
    </row>
    <row r="16" customFormat="false" ht="15" hidden="false" customHeight="false" outlineLevel="0" collapsed="false">
      <c r="A16" s="0" t="s">
        <v>73</v>
      </c>
      <c r="B16" s="0" t="s">
        <v>43</v>
      </c>
      <c r="C16" s="0" t="n">
        <v>1150</v>
      </c>
      <c r="D16" s="0" t="s">
        <v>55</v>
      </c>
      <c r="E16" s="0" t="s">
        <v>74</v>
      </c>
      <c r="F16" s="5" t="n">
        <v>2275</v>
      </c>
      <c r="G16" s="5" t="n">
        <f aca="false">F16*12</f>
        <v>27300</v>
      </c>
      <c r="H16" s="0" t="s">
        <v>41</v>
      </c>
    </row>
    <row r="17" customFormat="false" ht="15" hidden="false" customHeight="false" outlineLevel="0" collapsed="false">
      <c r="A17" s="0" t="s">
        <v>75</v>
      </c>
      <c r="B17" s="0" t="s">
        <v>58</v>
      </c>
      <c r="C17" s="0" t="n">
        <v>480</v>
      </c>
      <c r="D17" s="0" t="s">
        <v>76</v>
      </c>
      <c r="E17" s="0" t="s">
        <v>77</v>
      </c>
      <c r="F17" s="5" t="n">
        <v>1195</v>
      </c>
      <c r="G17" s="5" t="n">
        <f aca="false">F17*12</f>
        <v>14340</v>
      </c>
      <c r="H17" s="0" t="s">
        <v>41</v>
      </c>
    </row>
    <row r="18" customFormat="false" ht="15" hidden="false" customHeight="false" outlineLevel="0" collapsed="false">
      <c r="A18" s="0" t="s">
        <v>78</v>
      </c>
      <c r="B18" s="0" t="s">
        <v>38</v>
      </c>
      <c r="C18" s="0" t="n">
        <v>850</v>
      </c>
      <c r="D18" s="0" t="s">
        <v>44</v>
      </c>
      <c r="E18" s="0" t="s">
        <v>79</v>
      </c>
      <c r="F18" s="5" t="n">
        <v>1675</v>
      </c>
      <c r="G18" s="5" t="n">
        <f aca="false">F18*12</f>
        <v>20100</v>
      </c>
      <c r="H18" s="0" t="s">
        <v>41</v>
      </c>
    </row>
    <row r="19" customFormat="false" ht="15" hidden="false" customHeight="false" outlineLevel="0" collapsed="false">
      <c r="A19" s="0" t="s">
        <v>80</v>
      </c>
      <c r="B19" s="0" t="s">
        <v>51</v>
      </c>
      <c r="C19" s="0" t="n">
        <v>950</v>
      </c>
      <c r="D19" s="0" t="s">
        <v>81</v>
      </c>
      <c r="E19" s="0" t="s">
        <v>82</v>
      </c>
      <c r="F19" s="5" t="n">
        <v>1850</v>
      </c>
      <c r="G19" s="5" t="n">
        <f aca="false">F19*12</f>
        <v>22200</v>
      </c>
      <c r="H19" s="0" t="s">
        <v>41</v>
      </c>
    </row>
    <row r="20" customFormat="false" ht="15" hidden="false" customHeight="false" outlineLevel="0" collapsed="false">
      <c r="A20" s="0" t="s">
        <v>83</v>
      </c>
      <c r="B20" s="0" t="s">
        <v>51</v>
      </c>
      <c r="C20" s="0" t="n">
        <v>950</v>
      </c>
      <c r="D20" s="0" t="s">
        <v>81</v>
      </c>
      <c r="E20" s="0" t="s">
        <v>84</v>
      </c>
      <c r="F20" s="5" t="n">
        <v>1850</v>
      </c>
      <c r="G20" s="5" t="n">
        <f aca="false">F20*12</f>
        <v>22200</v>
      </c>
      <c r="H20" s="0" t="s">
        <v>41</v>
      </c>
    </row>
    <row r="21" customFormat="false" ht="15" hidden="false" customHeight="false" outlineLevel="0" collapsed="false">
      <c r="A21" s="0" t="s">
        <v>85</v>
      </c>
      <c r="B21" s="0" t="s">
        <v>58</v>
      </c>
      <c r="C21" s="0" t="n">
        <v>480</v>
      </c>
      <c r="D21" s="0" t="s">
        <v>48</v>
      </c>
      <c r="E21" s="0" t="s">
        <v>86</v>
      </c>
      <c r="F21" s="5" t="n">
        <v>1120</v>
      </c>
      <c r="G21" s="5" t="n">
        <f aca="false">F21*12</f>
        <v>13440</v>
      </c>
      <c r="H21" s="0" t="s">
        <v>41</v>
      </c>
    </row>
    <row r="22" customFormat="false" ht="15" hidden="false" customHeight="false" outlineLevel="0" collapsed="false">
      <c r="A22" s="0" t="s">
        <v>87</v>
      </c>
      <c r="B22" s="0" t="s">
        <v>58</v>
      </c>
      <c r="C22" s="0" t="n">
        <v>480</v>
      </c>
      <c r="D22" s="0" t="s">
        <v>81</v>
      </c>
      <c r="E22" s="0" t="s">
        <v>88</v>
      </c>
      <c r="F22" s="5" t="n">
        <v>1095</v>
      </c>
      <c r="G22" s="5" t="n">
        <f aca="false">F22*12</f>
        <v>13140</v>
      </c>
      <c r="H22" s="0" t="s">
        <v>41</v>
      </c>
    </row>
    <row r="23" customFormat="false" ht="15" hidden="false" customHeight="false" outlineLevel="0" collapsed="false">
      <c r="A23" s="0" t="s">
        <v>89</v>
      </c>
      <c r="B23" s="0" t="s">
        <v>43</v>
      </c>
      <c r="C23" s="0" t="n">
        <v>1150</v>
      </c>
      <c r="D23" s="0" t="s">
        <v>44</v>
      </c>
      <c r="E23" s="0" t="s">
        <v>90</v>
      </c>
      <c r="F23" s="5" t="n">
        <v>2275</v>
      </c>
      <c r="G23" s="5" t="n">
        <f aca="false">F23*12</f>
        <v>27300</v>
      </c>
      <c r="H23" s="0" t="s">
        <v>41</v>
      </c>
    </row>
    <row r="24" customFormat="false" ht="15" hidden="false" customHeight="false" outlineLevel="0" collapsed="false">
      <c r="A24" s="0" t="s">
        <v>91</v>
      </c>
      <c r="B24" s="0" t="s">
        <v>51</v>
      </c>
      <c r="C24" s="0" t="n">
        <v>950</v>
      </c>
      <c r="D24" s="0" t="s">
        <v>44</v>
      </c>
      <c r="E24" s="0" t="s">
        <v>92</v>
      </c>
      <c r="F24" s="5" t="n">
        <v>1900</v>
      </c>
      <c r="G24" s="5" t="n">
        <f aca="false">F24*12</f>
        <v>22800</v>
      </c>
      <c r="H24" s="0" t="s">
        <v>41</v>
      </c>
    </row>
    <row r="25" customFormat="false" ht="15" hidden="false" customHeight="false" outlineLevel="0" collapsed="false">
      <c r="A25" s="0" t="s">
        <v>93</v>
      </c>
      <c r="B25" s="0" t="s">
        <v>51</v>
      </c>
      <c r="C25" s="0" t="n">
        <v>950</v>
      </c>
      <c r="D25" s="0" t="s">
        <v>44</v>
      </c>
      <c r="E25" s="0" t="s">
        <v>94</v>
      </c>
      <c r="F25" s="5" t="n">
        <v>1925</v>
      </c>
      <c r="G25" s="5" t="n">
        <f aca="false">F25*12</f>
        <v>23100</v>
      </c>
      <c r="H25" s="0" t="s">
        <v>41</v>
      </c>
    </row>
    <row r="26" customFormat="false" ht="15" hidden="false" customHeight="false" outlineLevel="0" collapsed="false">
      <c r="A26" s="0" t="s">
        <v>95</v>
      </c>
      <c r="B26" s="0" t="s">
        <v>51</v>
      </c>
      <c r="C26" s="0" t="n">
        <v>950</v>
      </c>
      <c r="D26" s="0" t="s">
        <v>62</v>
      </c>
      <c r="F26" s="5" t="n">
        <v>0</v>
      </c>
      <c r="G26" s="5" t="n">
        <f aca="false">F26*12</f>
        <v>0</v>
      </c>
      <c r="H26" s="0" t="s">
        <v>63</v>
      </c>
    </row>
    <row r="27" customFormat="false" ht="15" hidden="false" customHeight="false" outlineLevel="0" collapsed="false">
      <c r="A27" s="0" t="s">
        <v>96</v>
      </c>
      <c r="B27" s="0" t="s">
        <v>51</v>
      </c>
      <c r="C27" s="0" t="n">
        <v>950</v>
      </c>
      <c r="D27" s="0" t="s">
        <v>76</v>
      </c>
      <c r="E27" s="0" t="s">
        <v>97</v>
      </c>
      <c r="F27" s="5" t="n">
        <v>1825</v>
      </c>
      <c r="G27" s="5" t="n">
        <f aca="false">F27*12</f>
        <v>21900</v>
      </c>
      <c r="H27" s="0" t="s">
        <v>41</v>
      </c>
    </row>
    <row r="28" customFormat="false" ht="15" hidden="false" customHeight="false" outlineLevel="0" collapsed="false">
      <c r="A28" s="0" t="s">
        <v>98</v>
      </c>
      <c r="B28" s="0" t="s">
        <v>47</v>
      </c>
      <c r="C28" s="0" t="n">
        <v>650</v>
      </c>
      <c r="D28" s="0" t="s">
        <v>59</v>
      </c>
      <c r="E28" s="0" t="s">
        <v>99</v>
      </c>
      <c r="F28" s="5" t="n">
        <v>1425</v>
      </c>
      <c r="G28" s="5" t="n">
        <f aca="false">F28*12</f>
        <v>17100</v>
      </c>
      <c r="H28" s="0" t="s">
        <v>41</v>
      </c>
    </row>
    <row r="29" customFormat="false" ht="15" hidden="false" customHeight="false" outlineLevel="0" collapsed="false">
      <c r="A29" s="0" t="s">
        <v>100</v>
      </c>
      <c r="B29" s="0" t="s">
        <v>43</v>
      </c>
      <c r="C29" s="0" t="n">
        <v>1150</v>
      </c>
      <c r="D29" s="0" t="s">
        <v>62</v>
      </c>
      <c r="F29" s="5" t="n">
        <v>0</v>
      </c>
      <c r="G29" s="5" t="n">
        <f aca="false">F29*12</f>
        <v>0</v>
      </c>
      <c r="H29" s="0" t="s">
        <v>63</v>
      </c>
    </row>
    <row r="30" customFormat="false" ht="15" hidden="false" customHeight="false" outlineLevel="0" collapsed="false">
      <c r="A30" s="0" t="s">
        <v>101</v>
      </c>
      <c r="B30" s="0" t="s">
        <v>58</v>
      </c>
      <c r="C30" s="0" t="n">
        <v>480</v>
      </c>
      <c r="D30" s="0" t="s">
        <v>59</v>
      </c>
      <c r="E30" s="0" t="s">
        <v>102</v>
      </c>
      <c r="F30" s="5" t="n">
        <v>1170</v>
      </c>
      <c r="G30" s="5" t="n">
        <f aca="false">F30*12</f>
        <v>14040</v>
      </c>
      <c r="H30" s="0" t="s">
        <v>41</v>
      </c>
    </row>
    <row r="31" customFormat="false" ht="15" hidden="false" customHeight="false" outlineLevel="0" collapsed="false">
      <c r="A31" s="0" t="s">
        <v>103</v>
      </c>
      <c r="B31" s="0" t="s">
        <v>38</v>
      </c>
      <c r="C31" s="0" t="n">
        <v>850</v>
      </c>
      <c r="D31" s="0" t="s">
        <v>62</v>
      </c>
      <c r="F31" s="5" t="n">
        <v>0</v>
      </c>
      <c r="G31" s="5" t="n">
        <f aca="false">F31*12</f>
        <v>0</v>
      </c>
      <c r="H31" s="0" t="s">
        <v>63</v>
      </c>
    </row>
    <row r="32" customFormat="false" ht="15" hidden="false" customHeight="false" outlineLevel="0" collapsed="false">
      <c r="A32" s="0" t="s">
        <v>104</v>
      </c>
      <c r="B32" s="0" t="s">
        <v>51</v>
      </c>
      <c r="C32" s="0" t="n">
        <v>950</v>
      </c>
      <c r="D32" s="0" t="s">
        <v>59</v>
      </c>
      <c r="E32" s="0" t="s">
        <v>105</v>
      </c>
      <c r="F32" s="5" t="n">
        <v>1875</v>
      </c>
      <c r="G32" s="5" t="n">
        <f aca="false">F32*12</f>
        <v>22500</v>
      </c>
      <c r="H32" s="0" t="s">
        <v>41</v>
      </c>
    </row>
    <row r="33" customFormat="false" ht="15" hidden="false" customHeight="false" outlineLevel="0" collapsed="false">
      <c r="A33" s="0" t="s">
        <v>106</v>
      </c>
      <c r="B33" s="0" t="s">
        <v>38</v>
      </c>
      <c r="C33" s="0" t="n">
        <v>850</v>
      </c>
      <c r="D33" s="0" t="s">
        <v>52</v>
      </c>
      <c r="E33" s="0" t="s">
        <v>107</v>
      </c>
      <c r="F33" s="5" t="n">
        <v>1750</v>
      </c>
      <c r="G33" s="5" t="n">
        <f aca="false">F33*12</f>
        <v>21000</v>
      </c>
      <c r="H33" s="0" t="s">
        <v>41</v>
      </c>
    </row>
    <row r="34" customFormat="false" ht="15" hidden="false" customHeight="false" outlineLevel="0" collapsed="false">
      <c r="A34" s="0" t="s">
        <v>108</v>
      </c>
      <c r="B34" s="0" t="s">
        <v>43</v>
      </c>
      <c r="C34" s="0" t="n">
        <v>1150</v>
      </c>
      <c r="D34" s="0" t="s">
        <v>48</v>
      </c>
      <c r="E34" s="0" t="s">
        <v>109</v>
      </c>
      <c r="F34" s="5" t="n">
        <v>2275</v>
      </c>
      <c r="G34" s="5" t="n">
        <f aca="false">F34*12</f>
        <v>27300</v>
      </c>
      <c r="H34" s="0" t="s">
        <v>41</v>
      </c>
    </row>
    <row r="35" customFormat="false" ht="15" hidden="false" customHeight="false" outlineLevel="0" collapsed="false">
      <c r="A35" s="0" t="s">
        <v>110</v>
      </c>
      <c r="B35" s="0" t="s">
        <v>47</v>
      </c>
      <c r="C35" s="0" t="n">
        <v>650</v>
      </c>
      <c r="D35" s="0" t="s">
        <v>44</v>
      </c>
      <c r="E35" s="0" t="s">
        <v>109</v>
      </c>
      <c r="F35" s="5" t="n">
        <v>1425</v>
      </c>
      <c r="G35" s="5" t="n">
        <f aca="false">F35*12</f>
        <v>17100</v>
      </c>
      <c r="H35" s="0" t="s">
        <v>41</v>
      </c>
    </row>
    <row r="36" customFormat="false" ht="15" hidden="false" customHeight="false" outlineLevel="0" collapsed="false">
      <c r="A36" s="0" t="s">
        <v>111</v>
      </c>
      <c r="B36" s="0" t="s">
        <v>43</v>
      </c>
      <c r="C36" s="0" t="n">
        <v>1150</v>
      </c>
      <c r="D36" s="0" t="s">
        <v>81</v>
      </c>
      <c r="E36" s="0" t="s">
        <v>112</v>
      </c>
      <c r="F36" s="5" t="n">
        <v>2250</v>
      </c>
      <c r="G36" s="5" t="n">
        <f aca="false">F36*12</f>
        <v>27000</v>
      </c>
      <c r="H36" s="0" t="s">
        <v>41</v>
      </c>
    </row>
    <row r="37" customFormat="false" ht="15" hidden="false" customHeight="false" outlineLevel="0" collapsed="false">
      <c r="A37" s="0" t="s">
        <v>113</v>
      </c>
      <c r="B37" s="0" t="s">
        <v>43</v>
      </c>
      <c r="C37" s="0" t="n">
        <v>1150</v>
      </c>
      <c r="D37" s="0" t="s">
        <v>81</v>
      </c>
      <c r="E37" s="0" t="s">
        <v>114</v>
      </c>
      <c r="F37" s="5" t="n">
        <v>2300</v>
      </c>
      <c r="G37" s="5" t="n">
        <f aca="false">F37*12</f>
        <v>27600</v>
      </c>
      <c r="H37" s="0" t="s">
        <v>41</v>
      </c>
    </row>
    <row r="38" customFormat="false" ht="15" hidden="false" customHeight="false" outlineLevel="0" collapsed="false">
      <c r="A38" s="0" t="s">
        <v>115</v>
      </c>
      <c r="B38" s="0" t="s">
        <v>58</v>
      </c>
      <c r="C38" s="0" t="n">
        <v>480</v>
      </c>
      <c r="D38" s="0" t="s">
        <v>81</v>
      </c>
      <c r="E38" s="0" t="s">
        <v>116</v>
      </c>
      <c r="F38" s="5" t="n">
        <v>1145</v>
      </c>
      <c r="G38" s="5" t="n">
        <f aca="false">F38*12</f>
        <v>13740</v>
      </c>
      <c r="H38" s="0" t="s">
        <v>41</v>
      </c>
    </row>
    <row r="39" customFormat="false" ht="15" hidden="false" customHeight="false" outlineLevel="0" collapsed="false">
      <c r="A39" s="0" t="s">
        <v>117</v>
      </c>
      <c r="B39" s="0" t="s">
        <v>51</v>
      </c>
      <c r="C39" s="0" t="n">
        <v>950</v>
      </c>
      <c r="D39" s="0" t="s">
        <v>39</v>
      </c>
      <c r="E39" s="0" t="s">
        <v>65</v>
      </c>
      <c r="F39" s="5" t="n">
        <v>1825</v>
      </c>
      <c r="G39" s="5" t="n">
        <f aca="false">F39*12</f>
        <v>21900</v>
      </c>
      <c r="H39" s="0" t="s">
        <v>41</v>
      </c>
    </row>
    <row r="40" customFormat="false" ht="15" hidden="false" customHeight="false" outlineLevel="0" collapsed="false">
      <c r="A40" s="0" t="s">
        <v>118</v>
      </c>
      <c r="B40" s="0" t="s">
        <v>58</v>
      </c>
      <c r="C40" s="0" t="n">
        <v>480</v>
      </c>
      <c r="D40" s="0" t="s">
        <v>81</v>
      </c>
      <c r="E40" s="0" t="s">
        <v>119</v>
      </c>
      <c r="F40" s="5" t="n">
        <v>1120</v>
      </c>
      <c r="G40" s="5" t="n">
        <f aca="false">F40*12</f>
        <v>13440</v>
      </c>
      <c r="H40" s="0" t="s">
        <v>41</v>
      </c>
    </row>
    <row r="41" customFormat="false" ht="15" hidden="false" customHeight="false" outlineLevel="0" collapsed="false">
      <c r="A41" s="0" t="s">
        <v>120</v>
      </c>
      <c r="B41" s="0" t="s">
        <v>43</v>
      </c>
      <c r="C41" s="0" t="n">
        <v>1150</v>
      </c>
      <c r="D41" s="0" t="s">
        <v>52</v>
      </c>
      <c r="E41" s="0" t="s">
        <v>121</v>
      </c>
      <c r="F41" s="5" t="n">
        <v>2300</v>
      </c>
      <c r="G41" s="5" t="n">
        <f aca="false">F41*12</f>
        <v>27600</v>
      </c>
      <c r="H41" s="0" t="s">
        <v>41</v>
      </c>
    </row>
    <row r="42" customFormat="false" ht="15" hidden="false" customHeight="false" outlineLevel="0" collapsed="false">
      <c r="A42" s="0" t="s">
        <v>122</v>
      </c>
      <c r="B42" s="0" t="s">
        <v>38</v>
      </c>
      <c r="C42" s="0" t="n">
        <v>850</v>
      </c>
      <c r="D42" s="0" t="s">
        <v>81</v>
      </c>
      <c r="E42" s="0" t="s">
        <v>123</v>
      </c>
      <c r="F42" s="5" t="n">
        <v>1675</v>
      </c>
      <c r="G42" s="5" t="n">
        <f aca="false">F42*12</f>
        <v>20100</v>
      </c>
      <c r="H42" s="0" t="s">
        <v>41</v>
      </c>
    </row>
    <row r="43" customFormat="false" ht="15" hidden="false" customHeight="false" outlineLevel="0" collapsed="false">
      <c r="A43" s="0" t="s">
        <v>124</v>
      </c>
      <c r="B43" s="0" t="s">
        <v>58</v>
      </c>
      <c r="C43" s="0" t="n">
        <v>480</v>
      </c>
      <c r="D43" s="0" t="s">
        <v>55</v>
      </c>
      <c r="E43" s="0" t="s">
        <v>107</v>
      </c>
      <c r="F43" s="5" t="n">
        <v>1095</v>
      </c>
      <c r="G43" s="5" t="n">
        <f aca="false">F43*12</f>
        <v>13140</v>
      </c>
      <c r="H43" s="0" t="s">
        <v>41</v>
      </c>
    </row>
    <row r="44" customFormat="false" ht="15" hidden="false" customHeight="false" outlineLevel="0" collapsed="false">
      <c r="A44" s="0" t="s">
        <v>125</v>
      </c>
      <c r="B44" s="0" t="s">
        <v>51</v>
      </c>
      <c r="C44" s="0" t="n">
        <v>950</v>
      </c>
      <c r="D44" s="0" t="s">
        <v>39</v>
      </c>
      <c r="E44" s="0" t="s">
        <v>126</v>
      </c>
      <c r="F44" s="5" t="n">
        <v>1925</v>
      </c>
      <c r="G44" s="5" t="n">
        <f aca="false">F44*12</f>
        <v>23100</v>
      </c>
      <c r="H44" s="0" t="s">
        <v>41</v>
      </c>
    </row>
    <row r="45" customFormat="false" ht="15" hidden="false" customHeight="false" outlineLevel="0" collapsed="false">
      <c r="A45" s="0" t="s">
        <v>127</v>
      </c>
      <c r="B45" s="0" t="s">
        <v>43</v>
      </c>
      <c r="C45" s="0" t="n">
        <v>1150</v>
      </c>
      <c r="D45" s="0" t="s">
        <v>76</v>
      </c>
      <c r="E45" s="0" t="s">
        <v>109</v>
      </c>
      <c r="F45" s="5" t="n">
        <v>2350</v>
      </c>
      <c r="G45" s="5" t="n">
        <f aca="false">F45*12</f>
        <v>28200</v>
      </c>
      <c r="H45" s="0" t="s">
        <v>41</v>
      </c>
    </row>
    <row r="46" customFormat="false" ht="15" hidden="false" customHeight="false" outlineLevel="0" collapsed="false">
      <c r="A46" s="0" t="s">
        <v>128</v>
      </c>
      <c r="B46" s="0" t="s">
        <v>43</v>
      </c>
      <c r="C46" s="0" t="n">
        <v>1150</v>
      </c>
      <c r="D46" s="0" t="s">
        <v>39</v>
      </c>
      <c r="E46" s="0" t="s">
        <v>129</v>
      </c>
      <c r="F46" s="5" t="n">
        <v>2350</v>
      </c>
      <c r="G46" s="5" t="n">
        <f aca="false">F46*12</f>
        <v>28200</v>
      </c>
      <c r="H46" s="0" t="s">
        <v>41</v>
      </c>
    </row>
    <row r="47" customFormat="false" ht="15" hidden="false" customHeight="false" outlineLevel="0" collapsed="false">
      <c r="A47" s="0" t="s">
        <v>130</v>
      </c>
      <c r="B47" s="0" t="s">
        <v>38</v>
      </c>
      <c r="C47" s="0" t="n">
        <v>850</v>
      </c>
      <c r="D47" s="0" t="s">
        <v>81</v>
      </c>
      <c r="E47" s="0" t="s">
        <v>53</v>
      </c>
      <c r="F47" s="5" t="n">
        <v>1675</v>
      </c>
      <c r="G47" s="5" t="n">
        <f aca="false">F47*12</f>
        <v>20100</v>
      </c>
      <c r="H47" s="0" t="s">
        <v>41</v>
      </c>
    </row>
    <row r="48" customFormat="false" ht="15" hidden="false" customHeight="false" outlineLevel="0" collapsed="false">
      <c r="A48" s="0" t="s">
        <v>131</v>
      </c>
      <c r="B48" s="0" t="s">
        <v>43</v>
      </c>
      <c r="C48" s="0" t="n">
        <v>1150</v>
      </c>
      <c r="D48" s="0" t="s">
        <v>81</v>
      </c>
      <c r="E48" s="0" t="s">
        <v>132</v>
      </c>
      <c r="F48" s="5" t="n">
        <v>2275</v>
      </c>
      <c r="G48" s="5" t="n">
        <f aca="false">F48*12</f>
        <v>27300</v>
      </c>
      <c r="H48" s="0" t="s">
        <v>41</v>
      </c>
    </row>
    <row r="49" customFormat="false" ht="15" hidden="false" customHeight="false" outlineLevel="0" collapsed="false">
      <c r="A49" s="0" t="s">
        <v>133</v>
      </c>
      <c r="B49" s="0" t="s">
        <v>38</v>
      </c>
      <c r="C49" s="0" t="n">
        <v>850</v>
      </c>
      <c r="D49" s="0" t="s">
        <v>76</v>
      </c>
      <c r="E49" s="0" t="s">
        <v>134</v>
      </c>
      <c r="F49" s="5" t="n">
        <v>1750</v>
      </c>
      <c r="G49" s="5" t="n">
        <f aca="false">F49*12</f>
        <v>21000</v>
      </c>
      <c r="H49" s="0" t="s">
        <v>41</v>
      </c>
    </row>
    <row r="50" customFormat="false" ht="15" hidden="false" customHeight="false" outlineLevel="0" collapsed="false">
      <c r="A50" s="0" t="s">
        <v>135</v>
      </c>
      <c r="B50" s="0" t="s">
        <v>58</v>
      </c>
      <c r="C50" s="0" t="n">
        <v>480</v>
      </c>
      <c r="D50" s="0" t="s">
        <v>44</v>
      </c>
      <c r="E50" s="0" t="s">
        <v>136</v>
      </c>
      <c r="F50" s="5" t="n">
        <v>1170</v>
      </c>
      <c r="G50" s="5" t="n">
        <f aca="false">F50*12</f>
        <v>14040</v>
      </c>
      <c r="H50" s="0" t="s">
        <v>41</v>
      </c>
    </row>
    <row r="51" customFormat="false" ht="15" hidden="false" customHeight="false" outlineLevel="0" collapsed="false">
      <c r="A51" s="0" t="s">
        <v>137</v>
      </c>
      <c r="B51" s="0" t="s">
        <v>51</v>
      </c>
      <c r="C51" s="0" t="n">
        <v>950</v>
      </c>
      <c r="D51" s="0" t="s">
        <v>55</v>
      </c>
      <c r="E51" s="0" t="s">
        <v>53</v>
      </c>
      <c r="F51" s="5" t="n">
        <v>1925</v>
      </c>
      <c r="G51" s="5" t="n">
        <f aca="false">F51*12</f>
        <v>23100</v>
      </c>
      <c r="H51" s="0" t="s">
        <v>41</v>
      </c>
    </row>
    <row r="52" customFormat="false" ht="15" hidden="false" customHeight="false" outlineLevel="0" collapsed="false">
      <c r="A52" s="3" t="s">
        <v>138</v>
      </c>
      <c r="C52" s="0" t="n">
        <f aca="false">SUM(C4:C51)</f>
        <v>41770</v>
      </c>
      <c r="F52" s="5" t="n">
        <f aca="false">SUM(F4:F51)</f>
        <v>77630</v>
      </c>
      <c r="G52" s="5" t="n">
        <f aca="false">SUM(G4:G51)</f>
        <v>931560</v>
      </c>
      <c r="H52" s="0" t="str">
        <f aca="false">COUNTIF(H4:H51,"Current")&amp;" occupied / "&amp;COUNTIF(H4:H51,"Vacant")&amp;" vacant"</f>
        <v>44 occupied / 4 vacant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</cols>
  <sheetData>
    <row r="1" customFormat="false" ht="16.15" hidden="false" customHeight="false" outlineLevel="0" collapsed="false">
      <c r="A1" s="7" t="s">
        <v>139</v>
      </c>
    </row>
    <row r="3" customFormat="false" ht="15" hidden="false" customHeight="false" outlineLevel="0" collapsed="false">
      <c r="A3" s="0" t="s">
        <v>140</v>
      </c>
      <c r="B3" s="5" t="n">
        <f aca="false">'Rent Roll'!G52</f>
        <v>931560</v>
      </c>
    </row>
    <row r="4" customFormat="false" ht="15" hidden="false" customHeight="false" outlineLevel="0" collapsed="false">
      <c r="A4" s="0" t="s">
        <v>141</v>
      </c>
      <c r="B4" s="5" t="n">
        <f aca="false">-B3*Assumptions!B11</f>
        <v>-55893.6</v>
      </c>
    </row>
    <row r="5" customFormat="false" ht="15" hidden="false" customHeight="false" outlineLevel="0" collapsed="false">
      <c r="A5" s="0" t="s">
        <v>142</v>
      </c>
      <c r="B5" s="5" t="n">
        <f aca="false">Assumptions!B5*Assumptions!B13*12</f>
        <v>35712</v>
      </c>
    </row>
    <row r="6" customFormat="false" ht="15" hidden="false" customHeight="false" outlineLevel="0" collapsed="false">
      <c r="A6" s="3" t="s">
        <v>7</v>
      </c>
      <c r="B6" s="10" t="n">
        <f aca="false">SUM(B3:B5)</f>
        <v>911378.4</v>
      </c>
    </row>
    <row r="8" customFormat="false" ht="15" hidden="false" customHeight="false" outlineLevel="0" collapsed="false">
      <c r="A8" s="0" t="s">
        <v>143</v>
      </c>
      <c r="B8" s="5" t="n">
        <v>118400</v>
      </c>
    </row>
    <row r="9" customFormat="false" ht="15" hidden="false" customHeight="false" outlineLevel="0" collapsed="false">
      <c r="A9" s="0" t="s">
        <v>144</v>
      </c>
      <c r="B9" s="5" t="n">
        <v>41250</v>
      </c>
    </row>
    <row r="10" customFormat="false" ht="15" hidden="false" customHeight="false" outlineLevel="0" collapsed="false">
      <c r="A10" s="0" t="s">
        <v>145</v>
      </c>
      <c r="B10" s="5" t="n">
        <v>52780</v>
      </c>
    </row>
    <row r="11" customFormat="false" ht="15" hidden="false" customHeight="false" outlineLevel="0" collapsed="false">
      <c r="A11" s="0" t="s">
        <v>146</v>
      </c>
      <c r="B11" s="5" t="n">
        <v>61940</v>
      </c>
    </row>
    <row r="12" customFormat="false" ht="15" hidden="false" customHeight="false" outlineLevel="0" collapsed="false">
      <c r="A12" s="0" t="s">
        <v>147</v>
      </c>
      <c r="B12" s="5" t="n">
        <v>23600</v>
      </c>
    </row>
    <row r="13" customFormat="false" ht="15" hidden="false" customHeight="false" outlineLevel="0" collapsed="false">
      <c r="A13" s="0" t="s">
        <v>148</v>
      </c>
      <c r="B13" s="5" t="n">
        <v>98500</v>
      </c>
    </row>
    <row r="14" customFormat="false" ht="15" hidden="false" customHeight="false" outlineLevel="0" collapsed="false">
      <c r="A14" s="0" t="s">
        <v>149</v>
      </c>
      <c r="B14" s="5" t="n">
        <f aca="false">B6*Assumptions!B12</f>
        <v>36455.136</v>
      </c>
    </row>
    <row r="15" customFormat="false" ht="15" hidden="false" customHeight="false" outlineLevel="0" collapsed="false">
      <c r="A15" s="0" t="s">
        <v>150</v>
      </c>
      <c r="B15" s="5" t="n">
        <v>14320</v>
      </c>
    </row>
    <row r="16" customFormat="false" ht="15" hidden="false" customHeight="false" outlineLevel="0" collapsed="false">
      <c r="A16" s="0" t="s">
        <v>151</v>
      </c>
      <c r="B16" s="5" t="n">
        <v>9875</v>
      </c>
    </row>
    <row r="17" customFormat="false" ht="15" hidden="false" customHeight="false" outlineLevel="0" collapsed="false">
      <c r="A17" s="0" t="s">
        <v>152</v>
      </c>
      <c r="B17" s="5" t="n">
        <f aca="false">Assumptions!B5*Assumptions!B14</f>
        <v>14400</v>
      </c>
    </row>
    <row r="18" customFormat="false" ht="15" hidden="false" customHeight="false" outlineLevel="0" collapsed="false">
      <c r="A18" s="3" t="s">
        <v>8</v>
      </c>
      <c r="B18" s="10" t="n">
        <f aca="false">SUM(B8:B17)</f>
        <v>471520.136</v>
      </c>
    </row>
    <row r="19" customFormat="false" ht="15" hidden="false" customHeight="false" outlineLevel="0" collapsed="false">
      <c r="A19" s="3" t="s">
        <v>9</v>
      </c>
      <c r="B19" s="10" t="n">
        <f aca="false">B6-B18</f>
        <v>439858.264</v>
      </c>
    </row>
    <row r="20" customFormat="false" ht="15" hidden="false" customHeight="false" outlineLevel="0" collapsed="false">
      <c r="A20" s="0" t="s">
        <v>153</v>
      </c>
      <c r="B20" s="4" t="n">
        <f aca="false">B18/B6</f>
        <v>0.517370321701721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</cols>
  <sheetData>
    <row r="1" customFormat="false" ht="16.15" hidden="false" customHeight="false" outlineLevel="0" collapsed="false">
      <c r="A1" s="7" t="s">
        <v>154</v>
      </c>
    </row>
    <row r="3" customFormat="false" ht="15" hidden="false" customHeight="false" outlineLevel="0" collapsed="false">
      <c r="A3" s="0" t="s">
        <v>19</v>
      </c>
      <c r="B3" s="5" t="n">
        <f aca="false">Assumptions!B7</f>
        <v>4452500</v>
      </c>
    </row>
    <row r="4" customFormat="false" ht="15" hidden="false" customHeight="false" outlineLevel="0" collapsed="false">
      <c r="A4" s="0" t="s">
        <v>20</v>
      </c>
      <c r="B4" s="4" t="n">
        <f aca="false">Assumptions!B8</f>
        <v>0.0625</v>
      </c>
    </row>
    <row r="5" customFormat="false" ht="15" hidden="false" customHeight="false" outlineLevel="0" collapsed="false">
      <c r="A5" s="0" t="s">
        <v>155</v>
      </c>
      <c r="B5" s="0" t="n">
        <f aca="false">Assumptions!B9*12</f>
        <v>360</v>
      </c>
    </row>
    <row r="6" customFormat="false" ht="15" hidden="false" customHeight="false" outlineLevel="0" collapsed="false">
      <c r="A6" s="0" t="s">
        <v>156</v>
      </c>
      <c r="B6" s="11" t="n">
        <f aca="false">-PMT(B4/12,B5,B3)</f>
        <v>27414.8083489851</v>
      </c>
    </row>
    <row r="7" customFormat="false" ht="15" hidden="false" customHeight="false" outlineLevel="0" collapsed="false">
      <c r="A7" s="0" t="s">
        <v>10</v>
      </c>
      <c r="B7" s="11" t="n">
        <f aca="false">B6*12</f>
        <v>328977.700187821</v>
      </c>
    </row>
    <row r="8" customFormat="false" ht="15" hidden="false" customHeight="false" outlineLevel="0" collapsed="false">
      <c r="A8" s="0" t="s">
        <v>9</v>
      </c>
      <c r="B8" s="5" t="n">
        <f aca="false">'Operating Statement'!B19</f>
        <v>439858.264</v>
      </c>
    </row>
    <row r="9" customFormat="false" ht="15" hidden="false" customHeight="false" outlineLevel="0" collapsed="false">
      <c r="A9" s="0" t="s">
        <v>11</v>
      </c>
      <c r="B9" s="6" t="n">
        <f aca="false">B8/B7</f>
        <v>1.33704583547418</v>
      </c>
    </row>
    <row r="10" customFormat="false" ht="15" hidden="false" customHeight="false" outlineLevel="0" collapsed="false">
      <c r="A10" s="0" t="s">
        <v>12</v>
      </c>
      <c r="B10" s="4" t="n">
        <f aca="false">B3/Assumptions!B6</f>
        <v>0.65</v>
      </c>
    </row>
    <row r="11" customFormat="false" ht="15" hidden="false" customHeight="false" outlineLevel="0" collapsed="false">
      <c r="A11" s="0" t="s">
        <v>13</v>
      </c>
      <c r="B11" s="4" t="n">
        <f aca="false">B8/Assumptions!B6</f>
        <v>0.0642128852554745</v>
      </c>
    </row>
    <row r="12" customFormat="false" ht="15" hidden="false" customHeight="false" outlineLevel="0" collapsed="false">
      <c r="A12" s="0" t="s">
        <v>157</v>
      </c>
      <c r="B12" s="4" t="n">
        <f aca="false">B8/B3</f>
        <v>0.0987890542391915</v>
      </c>
    </row>
    <row r="13" customFormat="false" ht="15" hidden="false" customHeight="false" outlineLevel="0" collapsed="false">
      <c r="A13" s="0" t="s">
        <v>158</v>
      </c>
      <c r="B13" s="5" t="n">
        <f aca="false">B8-B7</f>
        <v>110880.563812179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2026-10-12T23:30:28Z</dcterms:created>
  <dc:creator>openpyxl</dc:creator>
  <dc:description/>
  <dc:language>en-US</dc:language>
  <cp:lastModifiedBy/>
  <dcterms:modified xsi:type="dcterms:W3CDTF">2026-10-12T23:30:28Z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